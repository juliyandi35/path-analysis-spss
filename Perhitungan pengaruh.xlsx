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B6597 (Path Analysis)\"/>
    </mc:Choice>
  </mc:AlternateContent>
  <xr:revisionPtr revIDLastSave="0" documentId="8_{B9F1FED9-3C65-450E-9B70-7BEEF82FB8E1}" xr6:coauthVersionLast="47" xr6:coauthVersionMax="47" xr10:uidLastSave="{00000000-0000-0000-0000-000000000000}"/>
  <bookViews>
    <workbookView xWindow="9510" yWindow="0" windowWidth="9780" windowHeight="10170" xr2:uid="{4AB39B3E-6FB7-4B2B-A7DA-CC5256D41C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H5" i="1"/>
  <c r="G5" i="1"/>
  <c r="E15" i="1"/>
  <c r="E16" i="1"/>
  <c r="E17" i="1"/>
  <c r="E14" i="1"/>
  <c r="D13" i="1"/>
  <c r="D12" i="1"/>
  <c r="D11" i="1"/>
  <c r="D10" i="1"/>
</calcChain>
</file>

<file path=xl/sharedStrings.xml><?xml version="1.0" encoding="utf-8"?>
<sst xmlns="http://schemas.openxmlformats.org/spreadsheetml/2006/main" count="27" uniqueCount="27">
  <si>
    <t>No</t>
  </si>
  <si>
    <t>Variabel</t>
  </si>
  <si>
    <t>Pengaruh Langsung</t>
  </si>
  <si>
    <t>Pengaruh Tidak Langsung</t>
  </si>
  <si>
    <t>Pengaruh Total</t>
  </si>
  <si>
    <t>(1)+ (9)</t>
  </si>
  <si>
    <t>(2)+(10)</t>
  </si>
  <si>
    <t>(3)+(11)</t>
  </si>
  <si>
    <t>(4)+(12)</t>
  </si>
  <si>
    <t>X1 -&gt; X3</t>
  </si>
  <si>
    <t>X2 -&gt; X3</t>
  </si>
  <si>
    <t>X1 -&gt; X4</t>
  </si>
  <si>
    <t>X2 -&gt; X4</t>
  </si>
  <si>
    <t>X1 -&gt; Y</t>
  </si>
  <si>
    <t>X2 -&gt; Y</t>
  </si>
  <si>
    <t>X3 -&gt; Y</t>
  </si>
  <si>
    <t>X4 -&gt; Y</t>
  </si>
  <si>
    <t>X1 -&gt; X3 -&gt; Y</t>
  </si>
  <si>
    <t>X1 -&gt; X4 -&gt; Y</t>
  </si>
  <si>
    <t>X2 -&gt; X3 -&gt; Y</t>
  </si>
  <si>
    <t>X2 -&gt; X4 -&gt; Y</t>
  </si>
  <si>
    <t>R^2 Model 1</t>
  </si>
  <si>
    <t>R^2 Model 2</t>
  </si>
  <si>
    <t>R^2 Model 3</t>
  </si>
  <si>
    <t>e1</t>
  </si>
  <si>
    <t>e2</t>
  </si>
  <si>
    <t>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</si>
</sst>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top" wrapText="1"/>
    </xf>
    <xf numFmtId="0" fontId="0" fillId="0" borderId="4" xfId="0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B3D9E-D3AA-499B-B77F-FBBA0FD14397}">
  <dimension ref="A1:I17"/>
  <sheetViews>
    <sheetView tabSelected="1" topLeftCell="B1" workbookViewId="0">
      <selection activeCell="I8" sqref="I8"/>
    </sheetView>
  </sheetViews>
  <sheetFormatPr defaultRowHeight="14.5" x14ac:dyDescent="0.35"/>
  <cols>
    <col min="2" max="2" width="11.7265625" customWidth="1"/>
    <col min="4" max="5" width="8.90625" bestFit="1" customWidth="1"/>
    <col min="7" max="9" width="7.6328125" bestFit="1" customWidth="1"/>
  </cols>
  <sheetData>
    <row r="1" spans="1:9" ht="44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6" t="s">
        <v>21</v>
      </c>
      <c r="H1" s="6" t="s">
        <v>22</v>
      </c>
      <c r="I1" s="6" t="s">
        <v>23</v>
      </c>
    </row>
    <row r="2" spans="1:9" ht="15" thickBot="1" x14ac:dyDescent="0.4">
      <c r="A2" s="3">
        <v>1</v>
      </c>
      <c r="B2" s="4" t="s">
        <v>9</v>
      </c>
      <c r="C2" s="4">
        <v>-8.9999999999999993E-3</v>
      </c>
      <c r="D2" s="5"/>
      <c r="E2" s="5"/>
      <c r="G2">
        <v>0.8</v>
      </c>
      <c r="H2">
        <v>0.80800000000000005</v>
      </c>
      <c r="I2">
        <v>0.91100000000000003</v>
      </c>
    </row>
    <row r="3" spans="1:9" ht="15" thickBot="1" x14ac:dyDescent="0.4">
      <c r="A3" s="3">
        <v>2</v>
      </c>
      <c r="B3" s="4" t="s">
        <v>11</v>
      </c>
      <c r="C3" s="4">
        <v>-3.0000000000000001E-3</v>
      </c>
      <c r="D3" s="5"/>
      <c r="E3" s="5"/>
    </row>
    <row r="4" spans="1:9" ht="15" thickBot="1" x14ac:dyDescent="0.4">
      <c r="A4" s="3">
        <v>3</v>
      </c>
      <c r="B4" s="4" t="s">
        <v>10</v>
      </c>
      <c r="C4" s="4">
        <v>0.90700000000000003</v>
      </c>
      <c r="D4" s="5"/>
      <c r="E4" s="5"/>
      <c r="G4" t="s">
        <v>24</v>
      </c>
      <c r="H4" t="s">
        <v>25</v>
      </c>
      <c r="I4" t="s">
        <v>26</v>
      </c>
    </row>
    <row r="5" spans="1:9" ht="15" thickBot="1" x14ac:dyDescent="0.4">
      <c r="A5" s="3">
        <v>4</v>
      </c>
      <c r="B5" s="4" t="s">
        <v>12</v>
      </c>
      <c r="C5" s="4">
        <v>0.80100000000000005</v>
      </c>
      <c r="D5" s="5"/>
      <c r="E5" s="5"/>
      <c r="G5" s="7">
        <f>SQRT(1-G2)</f>
        <v>0.44721359549995787</v>
      </c>
      <c r="H5" s="7">
        <f t="shared" ref="H5:I5" si="0">SQRT(1-H2)</f>
        <v>0.43817804600413285</v>
      </c>
      <c r="I5" s="7">
        <f>SQRT(1-I2)</f>
        <v>0.2983286778035259</v>
      </c>
    </row>
    <row r="6" spans="1:9" ht="15" thickBot="1" x14ac:dyDescent="0.4">
      <c r="A6" s="3">
        <v>5</v>
      </c>
      <c r="B6" s="4" t="s">
        <v>13</v>
      </c>
      <c r="C6" s="4">
        <v>0.92800000000000005</v>
      </c>
      <c r="D6" s="5"/>
      <c r="E6" s="5"/>
    </row>
    <row r="7" spans="1:9" ht="15" thickBot="1" x14ac:dyDescent="0.4">
      <c r="A7" s="3">
        <v>6</v>
      </c>
      <c r="B7" s="4" t="s">
        <v>14</v>
      </c>
      <c r="C7" s="4">
        <v>-4.7E-2</v>
      </c>
      <c r="D7" s="5"/>
      <c r="E7" s="5"/>
    </row>
    <row r="8" spans="1:9" ht="15" thickBot="1" x14ac:dyDescent="0.4">
      <c r="A8" s="3">
        <v>7</v>
      </c>
      <c r="B8" s="4" t="s">
        <v>15</v>
      </c>
      <c r="C8" s="4">
        <v>-5.1999999999999998E-2</v>
      </c>
      <c r="D8" s="5"/>
      <c r="E8" s="5"/>
    </row>
    <row r="9" spans="1:9" ht="15" thickBot="1" x14ac:dyDescent="0.4">
      <c r="A9" s="3">
        <v>8</v>
      </c>
      <c r="B9" s="4" t="s">
        <v>16</v>
      </c>
      <c r="C9" s="4">
        <v>0.16200000000000001</v>
      </c>
      <c r="D9" s="5"/>
      <c r="E9" s="5"/>
    </row>
    <row r="10" spans="1:9" ht="15" thickBot="1" x14ac:dyDescent="0.4">
      <c r="A10" s="3">
        <v>9</v>
      </c>
      <c r="B10" s="4" t="s">
        <v>17</v>
      </c>
      <c r="C10" s="5"/>
      <c r="D10" s="5">
        <f>C2*C8</f>
        <v>4.6799999999999994E-4</v>
      </c>
      <c r="E10" s="5"/>
    </row>
    <row r="11" spans="1:9" ht="15" thickBot="1" x14ac:dyDescent="0.4">
      <c r="A11" s="3">
        <v>10</v>
      </c>
      <c r="B11" s="4" t="s">
        <v>18</v>
      </c>
      <c r="C11" s="5"/>
      <c r="D11" s="5">
        <f>C3*C9</f>
        <v>-4.8600000000000005E-4</v>
      </c>
      <c r="E11" s="5"/>
    </row>
    <row r="12" spans="1:9" ht="15" thickBot="1" x14ac:dyDescent="0.4">
      <c r="A12" s="3">
        <v>11</v>
      </c>
      <c r="B12" s="4" t="s">
        <v>19</v>
      </c>
      <c r="C12" s="5"/>
      <c r="D12" s="5">
        <f>C4*C8</f>
        <v>-4.7163999999999998E-2</v>
      </c>
      <c r="E12" s="5"/>
    </row>
    <row r="13" spans="1:9" ht="15" thickBot="1" x14ac:dyDescent="0.4">
      <c r="A13" s="3">
        <v>12</v>
      </c>
      <c r="B13" s="4" t="s">
        <v>20</v>
      </c>
      <c r="C13" s="5"/>
      <c r="D13" s="5">
        <f>C5*C9</f>
        <v>0.12976200000000002</v>
      </c>
      <c r="E13" s="5"/>
    </row>
    <row r="14" spans="1:9" ht="15" thickBot="1" x14ac:dyDescent="0.4">
      <c r="A14" s="3">
        <v>13</v>
      </c>
      <c r="B14" s="5" t="s">
        <v>5</v>
      </c>
      <c r="C14" s="5"/>
      <c r="D14" s="5"/>
      <c r="E14" s="5">
        <f>C2+D10</f>
        <v>-8.5319999999999997E-3</v>
      </c>
    </row>
    <row r="15" spans="1:9" ht="15" thickBot="1" x14ac:dyDescent="0.4">
      <c r="A15" s="3">
        <v>14</v>
      </c>
      <c r="B15" s="5" t="s">
        <v>6</v>
      </c>
      <c r="C15" s="5"/>
      <c r="D15" s="5"/>
      <c r="E15" s="5">
        <f t="shared" ref="E15:E17" si="1">C3+D11</f>
        <v>-3.4859999999999999E-3</v>
      </c>
    </row>
    <row r="16" spans="1:9" ht="15" thickBot="1" x14ac:dyDescent="0.4">
      <c r="A16" s="3">
        <v>15</v>
      </c>
      <c r="B16" s="5" t="s">
        <v>7</v>
      </c>
      <c r="C16" s="5"/>
      <c r="D16" s="5"/>
      <c r="E16" s="5">
        <f t="shared" si="1"/>
        <v>0.85983600000000004</v>
      </c>
    </row>
    <row r="17" spans="1:5" ht="15" thickBot="1" x14ac:dyDescent="0.4">
      <c r="A17" s="3">
        <v>16</v>
      </c>
      <c r="B17" s="5" t="s">
        <v>8</v>
      </c>
      <c r="C17" s="5"/>
      <c r="D17" s="5"/>
      <c r="E17" s="5">
        <f t="shared" si="1"/>
        <v>0.93076200000000009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2024-04-04T15:52:02Z</dcterms:created>
  <dcterms:modified xsi:type="dcterms:W3CDTF">2024-04-04T16:39:18Z</dcterms:modified>
</cp:coreProperties>
</file>